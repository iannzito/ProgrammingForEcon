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3bf19fe8c2f50c3/Documents/GitHub/ProgrammingForEcon/"/>
    </mc:Choice>
  </mc:AlternateContent>
  <xr:revisionPtr revIDLastSave="1" documentId="13_ncr:1_{25DCAEDB-DD8E-456B-9E27-604E9DEF4C1A}" xr6:coauthVersionLast="47" xr6:coauthVersionMax="47" xr10:uidLastSave="{CD77C039-2D03-4D25-B799-EFA0D0E51A99}"/>
  <bookViews>
    <workbookView xWindow="-108" yWindow="-108" windowWidth="23256" windowHeight="12576" activeTab="1" xr2:uid="{00000000-000D-0000-FFFF-FFFF00000000}"/>
  </bookViews>
  <sheets>
    <sheet name="Summary" sheetId="1" r:id="rId1"/>
    <sheet name="Sheet 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2" l="1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2" i="2"/>
</calcChain>
</file>

<file path=xl/sharedStrings.xml><?xml version="1.0" encoding="utf-8"?>
<sst xmlns="http://schemas.openxmlformats.org/spreadsheetml/2006/main" count="78" uniqueCount="74">
  <si>
    <t>HICP - annual data (average index and rate of change) (1996-2025) [prc_hicp_aind__custom_12680989]</t>
  </si>
  <si>
    <t>Open product page</t>
  </si>
  <si>
    <t>Open in Data Browser</t>
  </si>
  <si>
    <t xml:space="preserve">Description: </t>
  </si>
  <si>
    <t>The Harmonised Index of Consumer Prices (HICP) measures price changes of various consumer goods and services over time (inflation). This dataset comprises: the average index, which is the average of the monthly HICP indices in a calendar year, and the annual average rate of change, which is the average of the monthly consumer price indices over a calendar year compared to the average of the monthly consumer price indices over the previous calendar year Please note that this dataset is discontinued and replaced by prc_hicp_ainr[0]</t>
  </si>
  <si>
    <t>[0]</t>
  </si>
  <si>
    <t xml:space="preserve">Last update of data: </t>
  </si>
  <si>
    <t>06/02/2026 23:00</t>
  </si>
  <si>
    <t xml:space="preserve">Last change of data structure: </t>
  </si>
  <si>
    <t>19/01/2026 11:00</t>
  </si>
  <si>
    <t>Institutional source(s)</t>
  </si>
  <si>
    <t>Eurostat</t>
  </si>
  <si>
    <t>Contents</t>
  </si>
  <si>
    <t>Time frequency</t>
  </si>
  <si>
    <t>Unit of measure</t>
  </si>
  <si>
    <t>Classification of individual consumption by purpose (COICOP)</t>
  </si>
  <si>
    <t>Sheet 1</t>
  </si>
  <si>
    <t>Annual</t>
  </si>
  <si>
    <t>Annual average index</t>
  </si>
  <si>
    <t>Actual rentals for housing</t>
  </si>
  <si>
    <t>TIME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</si>
  <si>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</si>
  <si>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</si>
  <si>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</si>
  <si>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</si>
  <si>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</si>
  <si>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</si>
  <si>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</si>
  <si>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</si>
  <si>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</si>
  <si>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</si>
  <si>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</si>
  <si>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</si>
  <si>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</si>
  <si>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</si>
  <si>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</si>
  <si>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</si>
  <si>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European Union - 27 countries (from 2020)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</si>
  <si>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</si>
  <si>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</si>
  <si>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</si>
  <si>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</si>
  <si>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</si>
  <si>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</si>
  <si>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</si>
  <si>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</si>
  <si>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</si>
  <si>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</si>
  <si>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</si>
  <si>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</si>
  <si>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</si>
  <si>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</si>
  <si>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</si>
  <si>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</si>
  <si>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</si>
  <si>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</si>
  <si>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</si>
  <si>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</si>
  <si>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</si>
  <si>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</si>
  <si>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</si>
  <si>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</si>
  <si>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</si>
  <si>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</si>
  <si>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</si>
  <si>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</si>
  <si>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</si>
  <si>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</si>
  <si>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Montenegro</t>
  </si>
  <si>
    <t>:</t>
  </si>
  <si>
    <t>North Macedonia</t>
  </si>
  <si>
    <t>Serbia</t>
  </si>
  <si>
    <t>Türkiye</t>
  </si>
  <si>
    <t>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</si>
</sst>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2" fontId="2" fillId="0" borderId="0" xfId="0" applyNumberFormat="1" applyFont="1" applyAlignment="1">
      <alignment horizontal="right" vertical="center" shrinkToFit="1"/>
    </xf>
    <xf numFmtId="2" fontId="0" fillId="0" borderId="0" xfId="0" applyNumberFormat="1"/>
    <xf numFmtId="2" fontId="2" fillId="4" borderId="0" xfId="0" applyNumberFormat="1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321229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c.europa.eu/eurostat/databrowser/bookmark/f7a8b7e0-9b0e-4652-a82b-ad4ffc058b1b?lang=en&amp;createdAt=2026-05-20T13:25:22Z" TargetMode="External"/><Relationship Id="rId2" Type="http://schemas.openxmlformats.org/officeDocument/2006/relationships/hyperlink" Target="https://ec.europa.eu/eurostat/databrowser/view/prc_hicp_aind__custom_12680989/default/table" TargetMode="External"/><Relationship Id="rId1" Type="http://schemas.openxmlformats.org/officeDocument/2006/relationships/hyperlink" Target="https://ec.europa.eu/eurostat/databrowser/product/page/prc_hicp_aind__custom_12680989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P16"/>
  <sheetViews>
    <sheetView showGridLines="0" workbookViewId="0"/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15.21875" customWidth="1"/>
    <col min="5" max="5" width="55.44140625" customWidth="1"/>
  </cols>
  <sheetData>
    <row r="6" spans="1:16" x14ac:dyDescent="0.3">
      <c r="A6" s="6" t="s">
        <v>0</v>
      </c>
    </row>
    <row r="7" spans="1:16" x14ac:dyDescent="0.3">
      <c r="A7" s="8" t="s">
        <v>1</v>
      </c>
      <c r="B7" s="8" t="s">
        <v>2</v>
      </c>
    </row>
    <row r="8" spans="1:16" ht="42.75" customHeight="1" x14ac:dyDescent="0.3">
      <c r="A8" s="7" t="s">
        <v>3</v>
      </c>
      <c r="B8" s="11" t="s">
        <v>4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9" t="s">
        <v>5</v>
      </c>
    </row>
    <row r="10" spans="1:16" x14ac:dyDescent="0.3">
      <c r="A10" s="2" t="s">
        <v>6</v>
      </c>
      <c r="D10" s="2" t="s">
        <v>7</v>
      </c>
    </row>
    <row r="11" spans="1:16" x14ac:dyDescent="0.3">
      <c r="A11" s="2" t="s">
        <v>8</v>
      </c>
      <c r="D11" s="2" t="s">
        <v>9</v>
      </c>
    </row>
    <row r="13" spans="1:16" x14ac:dyDescent="0.3">
      <c r="B13" s="1" t="s">
        <v>10</v>
      </c>
    </row>
    <row r="14" spans="1:16" x14ac:dyDescent="0.3">
      <c r="C14" s="2" t="s">
        <v>11</v>
      </c>
    </row>
    <row r="15" spans="1:16" x14ac:dyDescent="0.3">
      <c r="B15" s="6" t="s">
        <v>12</v>
      </c>
      <c r="C15" s="6" t="s">
        <v>13</v>
      </c>
      <c r="D15" s="6" t="s">
        <v>14</v>
      </c>
      <c r="E15" s="6" t="s">
        <v>15</v>
      </c>
    </row>
    <row r="16" spans="1:16" x14ac:dyDescent="0.3">
      <c r="B16" s="9" t="s">
        <v>16</v>
      </c>
      <c r="C16" s="2" t="s">
        <v>17</v>
      </c>
      <c r="D16" s="2" t="s">
        <v>18</v>
      </c>
      <c r="E16" s="2" t="s">
        <v>19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P8" r:id="rId3" xr:uid="{00000000-0004-0000-0000-000002000000}"/>
    <hyperlink ref="B16" location="'Sheet 1'!A1" display="Sheet 1" xr:uid="{00000000-0004-0000-0000-000003000000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"/>
  <sheetViews>
    <sheetView tabSelected="1" workbookViewId="0">
      <pane xSplit="1" ySplit="9" topLeftCell="B11" activePane="bottomRight" state="frozen"/>
      <selection pane="topRight"/>
      <selection pane="bottomLeft"/>
      <selection pane="bottomRight" activeCell="G9" sqref="G9"/>
    </sheetView>
  </sheetViews>
  <sheetFormatPr defaultRowHeight="11.4" customHeight="1" x14ac:dyDescent="0.3"/>
  <cols>
    <col min="1" max="1" width="29.88671875" customWidth="1"/>
    <col min="2" max="17" width="10" customWidth="1"/>
  </cols>
  <sheetData>
    <row r="1" spans="1:18" x14ac:dyDescent="0.3">
      <c r="A1" s="4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  <c r="N1" s="3" t="s">
        <v>33</v>
      </c>
      <c r="O1" s="3" t="s">
        <v>34</v>
      </c>
      <c r="P1" s="3" t="s">
        <v>35</v>
      </c>
      <c r="Q1" s="3" t="s">
        <v>36</v>
      </c>
      <c r="R1" s="10" t="s">
        <v>73</v>
      </c>
    </row>
    <row r="2" spans="1:18" x14ac:dyDescent="0.3">
      <c r="A2" s="5" t="s">
        <v>37</v>
      </c>
      <c r="B2" s="13">
        <v>93.19</v>
      </c>
      <c r="C2" s="13">
        <v>94.57</v>
      </c>
      <c r="D2" s="13">
        <v>96.08</v>
      </c>
      <c r="E2" s="13">
        <v>97.5</v>
      </c>
      <c r="F2" s="13">
        <v>98.86</v>
      </c>
      <c r="G2" s="13">
        <v>100</v>
      </c>
      <c r="H2" s="13">
        <v>101.07</v>
      </c>
      <c r="I2" s="13">
        <v>102.36</v>
      </c>
      <c r="J2" s="13">
        <v>103.64</v>
      </c>
      <c r="K2" s="13">
        <v>105.16</v>
      </c>
      <c r="L2" s="13">
        <v>106.62</v>
      </c>
      <c r="M2" s="13">
        <v>107.95</v>
      </c>
      <c r="N2" s="13">
        <v>110.02</v>
      </c>
      <c r="O2" s="13">
        <v>113.29</v>
      </c>
      <c r="P2" s="13">
        <v>116.83</v>
      </c>
      <c r="Q2" s="13">
        <v>120.51</v>
      </c>
      <c r="R2" s="14">
        <f>Q2/G2-1</f>
        <v>0.20510000000000006</v>
      </c>
    </row>
    <row r="3" spans="1:18" x14ac:dyDescent="0.3">
      <c r="A3" s="5" t="s">
        <v>38</v>
      </c>
      <c r="B3" s="15">
        <v>93.47</v>
      </c>
      <c r="C3" s="15">
        <v>94.56</v>
      </c>
      <c r="D3" s="15">
        <v>96.02</v>
      </c>
      <c r="E3" s="15">
        <v>97.32</v>
      </c>
      <c r="F3" s="15">
        <v>99.01</v>
      </c>
      <c r="G3" s="15">
        <v>100</v>
      </c>
      <c r="H3" s="15">
        <v>100.95</v>
      </c>
      <c r="I3" s="15">
        <v>102.04</v>
      </c>
      <c r="J3" s="15">
        <v>103.11</v>
      </c>
      <c r="K3" s="15">
        <v>104.19</v>
      </c>
      <c r="L3" s="15">
        <v>106.97</v>
      </c>
      <c r="M3" s="15">
        <v>109.13</v>
      </c>
      <c r="N3" s="15">
        <v>112.96</v>
      </c>
      <c r="O3" s="15">
        <v>119.67</v>
      </c>
      <c r="P3" s="15">
        <v>125.59</v>
      </c>
      <c r="Q3" s="15">
        <v>130.28</v>
      </c>
      <c r="R3" s="14">
        <f t="shared" ref="R3:R36" si="0">Q3/G3-1</f>
        <v>0.30279999999999996</v>
      </c>
    </row>
    <row r="4" spans="1:18" x14ac:dyDescent="0.3">
      <c r="A4" s="5" t="s">
        <v>39</v>
      </c>
      <c r="B4" s="13">
        <v>96.37</v>
      </c>
      <c r="C4" s="13">
        <v>97.67</v>
      </c>
      <c r="D4" s="13">
        <v>98.53</v>
      </c>
      <c r="E4" s="13">
        <v>99.03</v>
      </c>
      <c r="F4" s="13">
        <v>99.26</v>
      </c>
      <c r="G4" s="13">
        <v>100</v>
      </c>
      <c r="H4" s="13">
        <v>100.6</v>
      </c>
      <c r="I4" s="13">
        <v>101.6</v>
      </c>
      <c r="J4" s="13">
        <v>103.52</v>
      </c>
      <c r="K4" s="13">
        <v>106.9</v>
      </c>
      <c r="L4" s="13">
        <v>109.61</v>
      </c>
      <c r="M4" s="13">
        <v>111.42</v>
      </c>
      <c r="N4" s="13">
        <v>118.48</v>
      </c>
      <c r="O4" s="13">
        <v>128.41999999999999</v>
      </c>
      <c r="P4" s="13">
        <v>135.55000000000001</v>
      </c>
      <c r="Q4" s="13">
        <v>148.56</v>
      </c>
      <c r="R4" s="14">
        <f t="shared" si="0"/>
        <v>0.48560000000000003</v>
      </c>
    </row>
    <row r="5" spans="1:18" x14ac:dyDescent="0.3">
      <c r="A5" s="5" t="s">
        <v>40</v>
      </c>
      <c r="B5" s="15">
        <v>89.9</v>
      </c>
      <c r="C5" s="15">
        <v>92.4</v>
      </c>
      <c r="D5" s="15">
        <v>96.3</v>
      </c>
      <c r="E5" s="15">
        <v>98.3</v>
      </c>
      <c r="F5" s="15">
        <v>99.2</v>
      </c>
      <c r="G5" s="15">
        <v>100</v>
      </c>
      <c r="H5" s="15">
        <v>101.2</v>
      </c>
      <c r="I5" s="15">
        <v>103.4</v>
      </c>
      <c r="J5" s="15">
        <v>106.4</v>
      </c>
      <c r="K5" s="15">
        <v>110.4</v>
      </c>
      <c r="L5" s="15">
        <v>113.8</v>
      </c>
      <c r="M5" s="15">
        <v>116.5</v>
      </c>
      <c r="N5" s="15">
        <v>122.3</v>
      </c>
      <c r="O5" s="15">
        <v>131</v>
      </c>
      <c r="P5" s="15">
        <v>139.9</v>
      </c>
      <c r="Q5" s="15">
        <v>148.30000000000001</v>
      </c>
      <c r="R5" s="14">
        <f t="shared" si="0"/>
        <v>0.4830000000000001</v>
      </c>
    </row>
    <row r="6" spans="1:18" x14ac:dyDescent="0.3">
      <c r="A6" s="5" t="s">
        <v>41</v>
      </c>
      <c r="B6" s="13">
        <v>89.4</v>
      </c>
      <c r="C6" s="13">
        <v>92.1</v>
      </c>
      <c r="D6" s="13">
        <v>94.5</v>
      </c>
      <c r="E6" s="13">
        <v>96.5</v>
      </c>
      <c r="F6" s="13">
        <v>98.1</v>
      </c>
      <c r="G6" s="13">
        <v>100</v>
      </c>
      <c r="H6" s="13">
        <v>101.4</v>
      </c>
      <c r="I6" s="13">
        <v>103</v>
      </c>
      <c r="J6" s="13">
        <v>104.2</v>
      </c>
      <c r="K6" s="13">
        <v>105.1</v>
      </c>
      <c r="L6" s="13">
        <v>106.1</v>
      </c>
      <c r="M6" s="13">
        <v>107.5</v>
      </c>
      <c r="N6" s="13">
        <v>109.7</v>
      </c>
      <c r="O6" s="13">
        <v>112.7</v>
      </c>
      <c r="P6" s="13">
        <v>115</v>
      </c>
      <c r="Q6" s="13">
        <v>117.5</v>
      </c>
      <c r="R6" s="14">
        <f t="shared" si="0"/>
        <v>0.17500000000000004</v>
      </c>
    </row>
    <row r="7" spans="1:18" x14ac:dyDescent="0.3">
      <c r="A7" s="5" t="s">
        <v>42</v>
      </c>
      <c r="B7" s="15">
        <v>93.8</v>
      </c>
      <c r="C7" s="15">
        <v>94.9</v>
      </c>
      <c r="D7" s="15">
        <v>96.1</v>
      </c>
      <c r="E7" s="15">
        <v>97.3</v>
      </c>
      <c r="F7" s="15">
        <v>98.8</v>
      </c>
      <c r="G7" s="15">
        <v>100</v>
      </c>
      <c r="H7" s="15">
        <v>101.2</v>
      </c>
      <c r="I7" s="15">
        <v>102.9</v>
      </c>
      <c r="J7" s="15">
        <v>104.6</v>
      </c>
      <c r="K7" s="15">
        <v>106.1</v>
      </c>
      <c r="L7" s="15">
        <v>107.6</v>
      </c>
      <c r="M7" s="15">
        <v>109</v>
      </c>
      <c r="N7" s="15">
        <v>110.8</v>
      </c>
      <c r="O7" s="15">
        <v>113.1</v>
      </c>
      <c r="P7" s="15">
        <v>115.5</v>
      </c>
      <c r="Q7" s="15">
        <v>117.9</v>
      </c>
      <c r="R7" s="14">
        <f t="shared" si="0"/>
        <v>0.17900000000000005</v>
      </c>
    </row>
    <row r="8" spans="1:18" x14ac:dyDescent="0.3">
      <c r="A8" s="5" t="s">
        <v>43</v>
      </c>
      <c r="B8" s="13">
        <v>51.12</v>
      </c>
      <c r="C8" s="13">
        <v>62.18</v>
      </c>
      <c r="D8" s="13">
        <v>73.59</v>
      </c>
      <c r="E8" s="13">
        <v>83.98</v>
      </c>
      <c r="F8" s="13">
        <v>93.18</v>
      </c>
      <c r="G8" s="13">
        <v>100</v>
      </c>
      <c r="H8" s="13">
        <v>106.48</v>
      </c>
      <c r="I8" s="13">
        <v>114.28</v>
      </c>
      <c r="J8" s="13">
        <v>122.33</v>
      </c>
      <c r="K8" s="13">
        <v>130.68</v>
      </c>
      <c r="L8" s="13">
        <v>125.22</v>
      </c>
      <c r="M8" s="13">
        <v>129.88</v>
      </c>
      <c r="N8" s="13">
        <v>158.56</v>
      </c>
      <c r="O8" s="13">
        <v>159.04</v>
      </c>
      <c r="P8" s="13">
        <v>157.55000000000001</v>
      </c>
      <c r="Q8" s="13">
        <v>165.27</v>
      </c>
      <c r="R8" s="14">
        <f t="shared" si="0"/>
        <v>0.65270000000000006</v>
      </c>
    </row>
    <row r="9" spans="1:18" x14ac:dyDescent="0.3">
      <c r="A9" s="5" t="s">
        <v>44</v>
      </c>
      <c r="B9" s="15">
        <v>79.8</v>
      </c>
      <c r="C9" s="15">
        <v>79.8</v>
      </c>
      <c r="D9" s="15">
        <v>81.099999999999994</v>
      </c>
      <c r="E9" s="15">
        <v>85.5</v>
      </c>
      <c r="F9" s="15">
        <v>92.4</v>
      </c>
      <c r="G9" s="15">
        <v>100</v>
      </c>
      <c r="H9" s="15">
        <v>108.7</v>
      </c>
      <c r="I9" s="15">
        <v>115.9</v>
      </c>
      <c r="J9" s="15">
        <v>123.4</v>
      </c>
      <c r="K9" s="15">
        <v>129.9</v>
      </c>
      <c r="L9" s="15">
        <v>130.1</v>
      </c>
      <c r="M9" s="15">
        <v>133.80000000000001</v>
      </c>
      <c r="N9" s="15">
        <v>146.9</v>
      </c>
      <c r="O9" s="15">
        <v>157.69999999999999</v>
      </c>
      <c r="P9" s="15">
        <v>166.1</v>
      </c>
      <c r="Q9" s="15">
        <v>173.6</v>
      </c>
      <c r="R9" s="14">
        <f t="shared" si="0"/>
        <v>0.73599999999999999</v>
      </c>
    </row>
    <row r="10" spans="1:18" x14ac:dyDescent="0.3">
      <c r="A10" s="5" t="s">
        <v>45</v>
      </c>
      <c r="B10" s="13">
        <v>123.14</v>
      </c>
      <c r="C10" s="13">
        <v>124.16</v>
      </c>
      <c r="D10" s="13">
        <v>121.58</v>
      </c>
      <c r="E10" s="13">
        <v>113.33</v>
      </c>
      <c r="F10" s="13">
        <v>104.64</v>
      </c>
      <c r="G10" s="13">
        <v>100</v>
      </c>
      <c r="H10" s="13">
        <v>97.39</v>
      </c>
      <c r="I10" s="13">
        <v>95.23</v>
      </c>
      <c r="J10" s="13">
        <v>92.16</v>
      </c>
      <c r="K10" s="13">
        <v>92.16</v>
      </c>
      <c r="L10" s="13">
        <v>92.16</v>
      </c>
      <c r="M10" s="13">
        <v>92.27</v>
      </c>
      <c r="N10" s="13">
        <v>93.46</v>
      </c>
      <c r="O10" s="13">
        <v>97.93</v>
      </c>
      <c r="P10" s="13">
        <v>102.92</v>
      </c>
      <c r="Q10" s="13">
        <v>113.26</v>
      </c>
      <c r="R10" s="14">
        <f t="shared" si="0"/>
        <v>0.13260000000000005</v>
      </c>
    </row>
    <row r="11" spans="1:18" x14ac:dyDescent="0.3">
      <c r="A11" s="5" t="s">
        <v>46</v>
      </c>
      <c r="B11" s="15">
        <v>100.45</v>
      </c>
      <c r="C11" s="15">
        <v>101.51</v>
      </c>
      <c r="D11" s="15">
        <v>102.01</v>
      </c>
      <c r="E11" s="15">
        <v>101.93</v>
      </c>
      <c r="F11" s="15">
        <v>101.31</v>
      </c>
      <c r="G11" s="15">
        <v>100</v>
      </c>
      <c r="H11" s="15">
        <v>99.91</v>
      </c>
      <c r="I11" s="15">
        <v>100.32</v>
      </c>
      <c r="J11" s="15">
        <v>101.59</v>
      </c>
      <c r="K11" s="15">
        <v>103.15</v>
      </c>
      <c r="L11" s="15">
        <v>104.33</v>
      </c>
      <c r="M11" s="15">
        <v>104.95</v>
      </c>
      <c r="N11" s="15">
        <v>106.37</v>
      </c>
      <c r="O11" s="15">
        <v>108.55</v>
      </c>
      <c r="P11" s="15">
        <v>110.93</v>
      </c>
      <c r="Q11" s="15">
        <v>113.61</v>
      </c>
      <c r="R11" s="14">
        <f t="shared" si="0"/>
        <v>0.13609999999999989</v>
      </c>
    </row>
    <row r="12" spans="1:18" x14ac:dyDescent="0.3">
      <c r="A12" s="5" t="s">
        <v>47</v>
      </c>
      <c r="B12" s="13">
        <v>94.16</v>
      </c>
      <c r="C12" s="13">
        <v>95.28</v>
      </c>
      <c r="D12" s="13">
        <v>96.78</v>
      </c>
      <c r="E12" s="13">
        <v>98.34</v>
      </c>
      <c r="F12" s="13">
        <v>99.36</v>
      </c>
      <c r="G12" s="13">
        <v>100</v>
      </c>
      <c r="H12" s="13">
        <v>100.32</v>
      </c>
      <c r="I12" s="13">
        <v>100.51</v>
      </c>
      <c r="J12" s="13">
        <v>100.25</v>
      </c>
      <c r="K12" s="13">
        <v>100.67</v>
      </c>
      <c r="L12" s="13">
        <v>101.06</v>
      </c>
      <c r="M12" s="13">
        <v>101.92</v>
      </c>
      <c r="N12" s="13">
        <v>102.6</v>
      </c>
      <c r="O12" s="13">
        <v>104.78</v>
      </c>
      <c r="P12" s="13">
        <v>107.23</v>
      </c>
      <c r="Q12" s="13">
        <v>109.72</v>
      </c>
      <c r="R12" s="14">
        <f t="shared" si="0"/>
        <v>9.7199999999999953E-2</v>
      </c>
    </row>
    <row r="13" spans="1:18" x14ac:dyDescent="0.3">
      <c r="A13" s="5" t="s">
        <v>48</v>
      </c>
      <c r="B13" s="15">
        <v>96.81</v>
      </c>
      <c r="C13" s="15">
        <v>97.98</v>
      </c>
      <c r="D13" s="15">
        <v>97.93</v>
      </c>
      <c r="E13" s="15">
        <v>97.91</v>
      </c>
      <c r="F13" s="15">
        <v>99.4</v>
      </c>
      <c r="G13" s="15">
        <v>100</v>
      </c>
      <c r="H13" s="15">
        <v>98.92</v>
      </c>
      <c r="I13" s="15">
        <v>98.64</v>
      </c>
      <c r="J13" s="15">
        <v>101.17</v>
      </c>
      <c r="K13" s="15">
        <v>106.09</v>
      </c>
      <c r="L13" s="15">
        <v>108.4</v>
      </c>
      <c r="M13" s="15">
        <v>108.9</v>
      </c>
      <c r="N13" s="15">
        <v>112.36</v>
      </c>
      <c r="O13" s="15">
        <v>119.42</v>
      </c>
      <c r="P13" s="15">
        <v>124.62</v>
      </c>
      <c r="Q13" s="15">
        <v>146.49</v>
      </c>
      <c r="R13" s="14">
        <f t="shared" si="0"/>
        <v>0.46490000000000009</v>
      </c>
    </row>
    <row r="14" spans="1:18" x14ac:dyDescent="0.3">
      <c r="A14" s="5" t="s">
        <v>49</v>
      </c>
      <c r="B14" s="13">
        <v>95.2</v>
      </c>
      <c r="C14" s="13">
        <v>96.8</v>
      </c>
      <c r="D14" s="13">
        <v>98.9</v>
      </c>
      <c r="E14" s="13">
        <v>100.2</v>
      </c>
      <c r="F14" s="13">
        <v>99.9</v>
      </c>
      <c r="G14" s="13">
        <v>100</v>
      </c>
      <c r="H14" s="13">
        <v>100.3</v>
      </c>
      <c r="I14" s="13">
        <v>100.5</v>
      </c>
      <c r="J14" s="13">
        <v>100.9</v>
      </c>
      <c r="K14" s="13">
        <v>101.1</v>
      </c>
      <c r="L14" s="13">
        <v>101.4</v>
      </c>
      <c r="M14" s="13">
        <v>101.4</v>
      </c>
      <c r="N14" s="13">
        <v>102.6</v>
      </c>
      <c r="O14" s="13">
        <v>105.1</v>
      </c>
      <c r="P14" s="13">
        <v>108.4</v>
      </c>
      <c r="Q14" s="13">
        <v>112.6</v>
      </c>
      <c r="R14" s="14">
        <f t="shared" si="0"/>
        <v>0.12599999999999989</v>
      </c>
    </row>
    <row r="15" spans="1:18" x14ac:dyDescent="0.3">
      <c r="A15" s="5" t="s">
        <v>50</v>
      </c>
      <c r="B15" s="15">
        <v>114.1</v>
      </c>
      <c r="C15" s="15">
        <v>114.72</v>
      </c>
      <c r="D15" s="15">
        <v>115.22</v>
      </c>
      <c r="E15" s="15">
        <v>107.52</v>
      </c>
      <c r="F15" s="15">
        <v>101.17</v>
      </c>
      <c r="G15" s="15">
        <v>100</v>
      </c>
      <c r="H15" s="15">
        <v>99.5</v>
      </c>
      <c r="I15" s="15">
        <v>100.25</v>
      </c>
      <c r="J15" s="15">
        <v>102.74</v>
      </c>
      <c r="K15" s="15">
        <v>106.21</v>
      </c>
      <c r="L15" s="15">
        <v>108.84</v>
      </c>
      <c r="M15" s="15">
        <v>110.9</v>
      </c>
      <c r="N15" s="15">
        <v>114.28</v>
      </c>
      <c r="O15" s="15">
        <v>119.4</v>
      </c>
      <c r="P15" s="15">
        <v>124.94</v>
      </c>
      <c r="Q15" s="15">
        <v>129.21</v>
      </c>
      <c r="R15" s="14">
        <f t="shared" si="0"/>
        <v>0.29210000000000003</v>
      </c>
    </row>
    <row r="16" spans="1:18" x14ac:dyDescent="0.3">
      <c r="A16" s="5" t="s">
        <v>51</v>
      </c>
      <c r="B16" s="13">
        <v>77.38</v>
      </c>
      <c r="C16" s="13">
        <v>81.709999999999994</v>
      </c>
      <c r="D16" s="13">
        <v>89.53</v>
      </c>
      <c r="E16" s="13">
        <v>94.58</v>
      </c>
      <c r="F16" s="13">
        <v>99.26</v>
      </c>
      <c r="G16" s="13">
        <v>100</v>
      </c>
      <c r="H16" s="13">
        <v>98.62</v>
      </c>
      <c r="I16" s="13">
        <v>98.27</v>
      </c>
      <c r="J16" s="13">
        <v>102.37</v>
      </c>
      <c r="K16" s="13">
        <v>107.12</v>
      </c>
      <c r="L16" s="13">
        <v>104.81</v>
      </c>
      <c r="M16" s="13">
        <v>106.46</v>
      </c>
      <c r="N16" s="13">
        <v>109.59</v>
      </c>
      <c r="O16" s="13">
        <v>112.74</v>
      </c>
      <c r="P16" s="13">
        <v>120.87</v>
      </c>
      <c r="Q16" s="13">
        <v>127.78</v>
      </c>
      <c r="R16" s="14">
        <f t="shared" si="0"/>
        <v>0.27780000000000005</v>
      </c>
    </row>
    <row r="17" spans="1:18" x14ac:dyDescent="0.3">
      <c r="A17" s="5" t="s">
        <v>52</v>
      </c>
      <c r="B17" s="15">
        <v>62.64</v>
      </c>
      <c r="C17" s="15">
        <v>64.08</v>
      </c>
      <c r="D17" s="15">
        <v>70.63</v>
      </c>
      <c r="E17" s="15">
        <v>75.23</v>
      </c>
      <c r="F17" s="15">
        <v>84.48</v>
      </c>
      <c r="G17" s="15">
        <v>100</v>
      </c>
      <c r="H17" s="15">
        <v>110.34</v>
      </c>
      <c r="I17" s="15">
        <v>110.7</v>
      </c>
      <c r="J17" s="15">
        <v>117.09</v>
      </c>
      <c r="K17" s="15">
        <v>126.08</v>
      </c>
      <c r="L17" s="15">
        <v>129.41999999999999</v>
      </c>
      <c r="M17" s="15">
        <v>131.75</v>
      </c>
      <c r="N17" s="15">
        <v>153.02000000000001</v>
      </c>
      <c r="O17" s="15">
        <v>168.22</v>
      </c>
      <c r="P17" s="15">
        <v>173.73</v>
      </c>
      <c r="Q17" s="15">
        <v>183.47</v>
      </c>
      <c r="R17" s="14">
        <f t="shared" si="0"/>
        <v>0.8347</v>
      </c>
    </row>
    <row r="18" spans="1:18" x14ac:dyDescent="0.3">
      <c r="A18" s="5" t="s">
        <v>53</v>
      </c>
      <c r="B18" s="13">
        <v>93.06</v>
      </c>
      <c r="C18" s="13">
        <v>94.83</v>
      </c>
      <c r="D18" s="13">
        <v>96.1</v>
      </c>
      <c r="E18" s="13">
        <v>97.44</v>
      </c>
      <c r="F18" s="13">
        <v>98.37</v>
      </c>
      <c r="G18" s="13">
        <v>100</v>
      </c>
      <c r="H18" s="13">
        <v>100.85</v>
      </c>
      <c r="I18" s="13">
        <v>102.03</v>
      </c>
      <c r="J18" s="13">
        <v>103.32</v>
      </c>
      <c r="K18" s="13">
        <v>104.71</v>
      </c>
      <c r="L18" s="13">
        <v>105.85</v>
      </c>
      <c r="M18" s="13">
        <v>107.31</v>
      </c>
      <c r="N18" s="13">
        <v>109.18</v>
      </c>
      <c r="O18" s="13">
        <v>111.06</v>
      </c>
      <c r="P18" s="13">
        <v>112.8</v>
      </c>
      <c r="Q18" s="13">
        <v>114.56</v>
      </c>
      <c r="R18" s="14">
        <f t="shared" si="0"/>
        <v>0.14559999999999995</v>
      </c>
    </row>
    <row r="19" spans="1:18" x14ac:dyDescent="0.3">
      <c r="A19" s="5" t="s">
        <v>54</v>
      </c>
      <c r="B19" s="15">
        <v>90.55</v>
      </c>
      <c r="C19" s="15">
        <v>92.23</v>
      </c>
      <c r="D19" s="15">
        <v>95.76</v>
      </c>
      <c r="E19" s="15">
        <v>97.72</v>
      </c>
      <c r="F19" s="15">
        <v>98.02</v>
      </c>
      <c r="G19" s="15">
        <v>100</v>
      </c>
      <c r="H19" s="15">
        <v>105.22</v>
      </c>
      <c r="I19" s="15">
        <v>108.42</v>
      </c>
      <c r="J19" s="15">
        <v>113.9</v>
      </c>
      <c r="K19" s="15">
        <v>124.6</v>
      </c>
      <c r="L19" s="15">
        <v>129.93</v>
      </c>
      <c r="M19" s="15">
        <v>132.37</v>
      </c>
      <c r="N19" s="15">
        <v>146.33000000000001</v>
      </c>
      <c r="O19" s="15">
        <v>166.48</v>
      </c>
      <c r="P19" s="15">
        <v>187.1</v>
      </c>
      <c r="Q19" s="15">
        <v>205.43</v>
      </c>
      <c r="R19" s="14">
        <f t="shared" si="0"/>
        <v>1.0543</v>
      </c>
    </row>
    <row r="20" spans="1:18" x14ac:dyDescent="0.3">
      <c r="A20" s="5" t="s">
        <v>55</v>
      </c>
      <c r="B20" s="13">
        <v>93.4</v>
      </c>
      <c r="C20" s="13">
        <v>95.84</v>
      </c>
      <c r="D20" s="13">
        <v>96.96</v>
      </c>
      <c r="E20" s="13">
        <v>97.27</v>
      </c>
      <c r="F20" s="13">
        <v>97.54</v>
      </c>
      <c r="G20" s="13">
        <v>100</v>
      </c>
      <c r="H20" s="13">
        <v>104.41</v>
      </c>
      <c r="I20" s="13">
        <v>104.9</v>
      </c>
      <c r="J20" s="13">
        <v>106.67</v>
      </c>
      <c r="K20" s="13">
        <v>111.07</v>
      </c>
      <c r="L20" s="13">
        <v>115.56</v>
      </c>
      <c r="M20" s="13">
        <v>113.96</v>
      </c>
      <c r="N20" s="13">
        <v>120.06</v>
      </c>
      <c r="O20" s="13">
        <v>138.30000000000001</v>
      </c>
      <c r="P20" s="13">
        <v>150.59</v>
      </c>
      <c r="Q20" s="13">
        <v>153.11000000000001</v>
      </c>
      <c r="R20" s="14">
        <f t="shared" si="0"/>
        <v>0.53110000000000013</v>
      </c>
    </row>
    <row r="21" spans="1:18" x14ac:dyDescent="0.3">
      <c r="A21" s="5" t="s">
        <v>56</v>
      </c>
      <c r="B21" s="15">
        <v>85.81</v>
      </c>
      <c r="C21" s="15">
        <v>87.28</v>
      </c>
      <c r="D21" s="15">
        <v>89.3</v>
      </c>
      <c r="E21" s="15">
        <v>92.65</v>
      </c>
      <c r="F21" s="15">
        <v>96.81</v>
      </c>
      <c r="G21" s="15">
        <v>100</v>
      </c>
      <c r="H21" s="15">
        <v>102.09</v>
      </c>
      <c r="I21" s="15">
        <v>103.93</v>
      </c>
      <c r="J21" s="15">
        <v>105.96</v>
      </c>
      <c r="K21" s="15">
        <v>108.55</v>
      </c>
      <c r="L21" s="15">
        <v>111.51</v>
      </c>
      <c r="M21" s="15">
        <v>113.57</v>
      </c>
      <c r="N21" s="15">
        <v>115.68</v>
      </c>
      <c r="O21" s="15">
        <v>118.53</v>
      </c>
      <c r="P21" s="15">
        <v>122.94</v>
      </c>
      <c r="Q21" s="15">
        <v>129.27000000000001</v>
      </c>
      <c r="R21" s="14">
        <f t="shared" si="0"/>
        <v>0.29270000000000018</v>
      </c>
    </row>
    <row r="22" spans="1:18" x14ac:dyDescent="0.3">
      <c r="A22" s="5" t="s">
        <v>57</v>
      </c>
      <c r="B22" s="13">
        <v>82.88</v>
      </c>
      <c r="C22" s="13">
        <v>85.6</v>
      </c>
      <c r="D22" s="13">
        <v>89.36</v>
      </c>
      <c r="E22" s="13">
        <v>92.12</v>
      </c>
      <c r="F22" s="13">
        <v>95.78</v>
      </c>
      <c r="G22" s="13">
        <v>100</v>
      </c>
      <c r="H22" s="13">
        <v>103.09</v>
      </c>
      <c r="I22" s="13">
        <v>107.36</v>
      </c>
      <c r="J22" s="13">
        <v>111.36</v>
      </c>
      <c r="K22" s="13">
        <v>114.66</v>
      </c>
      <c r="L22" s="13">
        <v>119.36</v>
      </c>
      <c r="M22" s="13">
        <v>121.71</v>
      </c>
      <c r="N22" s="13">
        <v>122.71</v>
      </c>
      <c r="O22" s="13">
        <v>132.35</v>
      </c>
      <c r="P22" s="13">
        <v>141.18</v>
      </c>
      <c r="Q22" s="13">
        <v>147.25</v>
      </c>
      <c r="R22" s="14">
        <f t="shared" si="0"/>
        <v>0.47249999999999992</v>
      </c>
    </row>
    <row r="23" spans="1:18" x14ac:dyDescent="0.3">
      <c r="A23" s="5" t="s">
        <v>58</v>
      </c>
      <c r="B23" s="15">
        <v>91</v>
      </c>
      <c r="C23" s="15">
        <v>93.7</v>
      </c>
      <c r="D23" s="15">
        <v>96</v>
      </c>
      <c r="E23" s="15">
        <v>97.5</v>
      </c>
      <c r="F23" s="15">
        <v>98.7</v>
      </c>
      <c r="G23" s="15">
        <v>100</v>
      </c>
      <c r="H23" s="15">
        <v>101.3</v>
      </c>
      <c r="I23" s="15">
        <v>104.4</v>
      </c>
      <c r="J23" s="15">
        <v>108.3</v>
      </c>
      <c r="K23" s="15">
        <v>113.6</v>
      </c>
      <c r="L23" s="15">
        <v>119.7</v>
      </c>
      <c r="M23" s="15">
        <v>124.3</v>
      </c>
      <c r="N23" s="15">
        <v>142</v>
      </c>
      <c r="O23" s="15">
        <v>158.4</v>
      </c>
      <c r="P23" s="15">
        <v>166.4</v>
      </c>
      <c r="Q23" s="15">
        <v>173.7</v>
      </c>
      <c r="R23" s="14">
        <f t="shared" si="0"/>
        <v>0.73699999999999988</v>
      </c>
    </row>
    <row r="24" spans="1:18" x14ac:dyDescent="0.3">
      <c r="A24" s="5" t="s">
        <v>59</v>
      </c>
      <c r="B24" s="13">
        <v>90.86</v>
      </c>
      <c r="C24" s="13">
        <v>91.71</v>
      </c>
      <c r="D24" s="13">
        <v>93.55</v>
      </c>
      <c r="E24" s="13">
        <v>94.72</v>
      </c>
      <c r="F24" s="13">
        <v>98.91</v>
      </c>
      <c r="G24" s="13">
        <v>100</v>
      </c>
      <c r="H24" s="13">
        <v>101.71</v>
      </c>
      <c r="I24" s="13">
        <v>102.72</v>
      </c>
      <c r="J24" s="13">
        <v>104.66</v>
      </c>
      <c r="K24" s="13">
        <v>107.97</v>
      </c>
      <c r="L24" s="13">
        <v>110.76</v>
      </c>
      <c r="M24" s="13">
        <v>112.76</v>
      </c>
      <c r="N24" s="13">
        <v>115.79</v>
      </c>
      <c r="O24" s="13">
        <v>121.05</v>
      </c>
      <c r="P24" s="13">
        <v>129.5</v>
      </c>
      <c r="Q24" s="13">
        <v>136.37</v>
      </c>
      <c r="R24" s="14">
        <f t="shared" si="0"/>
        <v>0.36370000000000013</v>
      </c>
    </row>
    <row r="25" spans="1:18" x14ac:dyDescent="0.3">
      <c r="A25" s="5" t="s">
        <v>60</v>
      </c>
      <c r="B25" s="15">
        <v>93.61</v>
      </c>
      <c r="C25" s="15">
        <v>94.23</v>
      </c>
      <c r="D25" s="15">
        <v>96.47</v>
      </c>
      <c r="E25" s="15">
        <v>97</v>
      </c>
      <c r="F25" s="15">
        <v>99</v>
      </c>
      <c r="G25" s="15">
        <v>100</v>
      </c>
      <c r="H25" s="15">
        <v>100.87</v>
      </c>
      <c r="I25" s="15">
        <v>102.42</v>
      </c>
      <c r="J25" s="15">
        <v>104.94</v>
      </c>
      <c r="K25" s="15">
        <v>107.7</v>
      </c>
      <c r="L25" s="15">
        <v>110.13</v>
      </c>
      <c r="M25" s="15">
        <v>112.93</v>
      </c>
      <c r="N25" s="15">
        <v>118.48</v>
      </c>
      <c r="O25" s="15">
        <v>130.16</v>
      </c>
      <c r="P25" s="15">
        <v>144.59</v>
      </c>
      <c r="Q25" s="15">
        <v>156.46</v>
      </c>
      <c r="R25" s="14">
        <f t="shared" si="0"/>
        <v>0.56459999999999999</v>
      </c>
    </row>
    <row r="26" spans="1:18" x14ac:dyDescent="0.3">
      <c r="A26" s="5" t="s">
        <v>61</v>
      </c>
      <c r="B26" s="13">
        <v>102.07</v>
      </c>
      <c r="C26" s="13">
        <v>101.67</v>
      </c>
      <c r="D26" s="13">
        <v>99.93</v>
      </c>
      <c r="E26" s="13">
        <v>98.84</v>
      </c>
      <c r="F26" s="13">
        <v>98.04</v>
      </c>
      <c r="G26" s="13">
        <v>100</v>
      </c>
      <c r="H26" s="13">
        <v>101.63</v>
      </c>
      <c r="I26" s="13">
        <v>107.02</v>
      </c>
      <c r="J26" s="13">
        <v>113.7</v>
      </c>
      <c r="K26" s="13">
        <v>118.5</v>
      </c>
      <c r="L26" s="13">
        <v>115.8</v>
      </c>
      <c r="M26" s="13">
        <v>120.03</v>
      </c>
      <c r="N26" s="13">
        <v>142.79</v>
      </c>
      <c r="O26" s="13">
        <v>160.41999999999999</v>
      </c>
      <c r="P26" s="13">
        <v>170.51</v>
      </c>
      <c r="Q26" s="13">
        <v>173.83</v>
      </c>
      <c r="R26" s="14">
        <f t="shared" si="0"/>
        <v>0.73830000000000018</v>
      </c>
    </row>
    <row r="27" spans="1:18" x14ac:dyDescent="0.3">
      <c r="A27" s="5" t="s">
        <v>62</v>
      </c>
      <c r="B27" s="15">
        <v>98.34</v>
      </c>
      <c r="C27" s="15">
        <v>99.1</v>
      </c>
      <c r="D27" s="15">
        <v>99.72</v>
      </c>
      <c r="E27" s="15">
        <v>99.97</v>
      </c>
      <c r="F27" s="15">
        <v>100</v>
      </c>
      <c r="G27" s="15">
        <v>100</v>
      </c>
      <c r="H27" s="15">
        <v>100.24</v>
      </c>
      <c r="I27" s="15">
        <v>100.54</v>
      </c>
      <c r="J27" s="15">
        <v>100.85</v>
      </c>
      <c r="K27" s="15">
        <v>101.42</v>
      </c>
      <c r="L27" s="15">
        <v>102.96</v>
      </c>
      <c r="M27" s="15">
        <v>103.86</v>
      </c>
      <c r="N27" s="15">
        <v>108.15</v>
      </c>
      <c r="O27" s="15">
        <v>113.91</v>
      </c>
      <c r="P27" s="15">
        <v>121.34</v>
      </c>
      <c r="Q27" s="15">
        <v>127.53</v>
      </c>
      <c r="R27" s="14">
        <f t="shared" si="0"/>
        <v>0.2753000000000001</v>
      </c>
    </row>
    <row r="28" spans="1:18" x14ac:dyDescent="0.3">
      <c r="A28" s="5" t="s">
        <v>63</v>
      </c>
      <c r="B28" s="13">
        <v>85.38</v>
      </c>
      <c r="C28" s="13">
        <v>88.26</v>
      </c>
      <c r="D28" s="13">
        <v>91.51</v>
      </c>
      <c r="E28" s="13">
        <v>94.17</v>
      </c>
      <c r="F28" s="13">
        <v>97.09</v>
      </c>
      <c r="G28" s="13">
        <v>100</v>
      </c>
      <c r="H28" s="13">
        <v>102.29</v>
      </c>
      <c r="I28" s="13">
        <v>104.38</v>
      </c>
      <c r="J28" s="13">
        <v>106.36</v>
      </c>
      <c r="K28" s="13">
        <v>108.49</v>
      </c>
      <c r="L28" s="13">
        <v>110</v>
      </c>
      <c r="M28" s="13">
        <v>110.92</v>
      </c>
      <c r="N28" s="13">
        <v>112.02</v>
      </c>
      <c r="O28" s="13">
        <v>114.33</v>
      </c>
      <c r="P28" s="13">
        <v>117.15</v>
      </c>
      <c r="Q28" s="13">
        <v>118.37</v>
      </c>
      <c r="R28" s="14">
        <f t="shared" si="0"/>
        <v>0.18369999999999997</v>
      </c>
    </row>
    <row r="29" spans="1:18" x14ac:dyDescent="0.3">
      <c r="A29" s="5" t="s">
        <v>64</v>
      </c>
      <c r="B29" s="15">
        <v>90.28</v>
      </c>
      <c r="C29" s="15">
        <v>92.38</v>
      </c>
      <c r="D29" s="15">
        <v>94.75</v>
      </c>
      <c r="E29" s="15">
        <v>96.86</v>
      </c>
      <c r="F29" s="15">
        <v>98.56</v>
      </c>
      <c r="G29" s="15">
        <v>100</v>
      </c>
      <c r="H29" s="15">
        <v>100.88</v>
      </c>
      <c r="I29" s="15">
        <v>101.73</v>
      </c>
      <c r="J29" s="15">
        <v>102.82</v>
      </c>
      <c r="K29" s="15">
        <v>104.69</v>
      </c>
      <c r="L29" s="15">
        <v>106.61</v>
      </c>
      <c r="M29" s="15">
        <v>108.16</v>
      </c>
      <c r="N29" s="15">
        <v>110.08</v>
      </c>
      <c r="O29" s="15">
        <v>113.8</v>
      </c>
      <c r="P29" s="15">
        <v>119.18</v>
      </c>
      <c r="Q29" s="15">
        <v>125.44</v>
      </c>
      <c r="R29" s="14">
        <f t="shared" si="0"/>
        <v>0.25439999999999996</v>
      </c>
    </row>
    <row r="30" spans="1:18" x14ac:dyDescent="0.3">
      <c r="A30" s="5" t="s">
        <v>65</v>
      </c>
      <c r="B30" s="13">
        <v>75.89</v>
      </c>
      <c r="C30" s="13">
        <v>79.63</v>
      </c>
      <c r="D30" s="13">
        <v>84.23</v>
      </c>
      <c r="E30" s="13">
        <v>90.44</v>
      </c>
      <c r="F30" s="13">
        <v>96.23</v>
      </c>
      <c r="G30" s="13">
        <v>100</v>
      </c>
      <c r="H30" s="13">
        <v>104.32</v>
      </c>
      <c r="I30" s="13">
        <v>108.33</v>
      </c>
      <c r="J30" s="13">
        <v>113.88</v>
      </c>
      <c r="K30" s="13">
        <v>120.37</v>
      </c>
      <c r="L30" s="13">
        <v>124.6</v>
      </c>
      <c r="M30" s="13">
        <v>128.47999999999999</v>
      </c>
      <c r="N30" s="13">
        <v>134.63</v>
      </c>
      <c r="O30" s="13">
        <v>145.85</v>
      </c>
      <c r="P30" s="13">
        <v>159.84</v>
      </c>
      <c r="Q30" s="13">
        <v>175.72</v>
      </c>
      <c r="R30" s="14">
        <f t="shared" si="0"/>
        <v>0.7572000000000001</v>
      </c>
    </row>
    <row r="31" spans="1:18" x14ac:dyDescent="0.3">
      <c r="A31" s="5" t="s">
        <v>66</v>
      </c>
      <c r="B31" s="15">
        <v>88.2</v>
      </c>
      <c r="C31" s="15">
        <v>90.2</v>
      </c>
      <c r="D31" s="15">
        <v>91.9</v>
      </c>
      <c r="E31" s="15">
        <v>94.7</v>
      </c>
      <c r="F31" s="15">
        <v>97.3</v>
      </c>
      <c r="G31" s="15">
        <v>100</v>
      </c>
      <c r="H31" s="15">
        <v>101.9</v>
      </c>
      <c r="I31" s="15">
        <v>104.1</v>
      </c>
      <c r="J31" s="15">
        <v>105.9</v>
      </c>
      <c r="K31" s="15">
        <v>107.8</v>
      </c>
      <c r="L31" s="15">
        <v>109.4</v>
      </c>
      <c r="M31" s="15">
        <v>110.8</v>
      </c>
      <c r="N31" s="15">
        <v>113.2</v>
      </c>
      <c r="O31" s="15">
        <v>117.7</v>
      </c>
      <c r="P31" s="15">
        <v>122.9</v>
      </c>
      <c r="Q31" s="15">
        <v>127.3</v>
      </c>
      <c r="R31" s="14">
        <f t="shared" si="0"/>
        <v>0.27299999999999991</v>
      </c>
    </row>
    <row r="32" spans="1:18" x14ac:dyDescent="0.3">
      <c r="A32" s="5" t="s">
        <v>67</v>
      </c>
      <c r="B32" s="13">
        <v>95.68</v>
      </c>
      <c r="C32" s="13">
        <v>96.93</v>
      </c>
      <c r="D32" s="13">
        <v>97.61</v>
      </c>
      <c r="E32" s="13">
        <v>98.05</v>
      </c>
      <c r="F32" s="13">
        <v>99.23</v>
      </c>
      <c r="G32" s="13">
        <v>100</v>
      </c>
      <c r="H32" s="13">
        <v>100.19</v>
      </c>
      <c r="I32" s="13">
        <v>101.37</v>
      </c>
      <c r="J32" s="13">
        <v>101.93</v>
      </c>
      <c r="K32" s="13">
        <v>102.51</v>
      </c>
      <c r="L32" s="13">
        <v>103.39</v>
      </c>
      <c r="M32" s="13">
        <v>104.47</v>
      </c>
      <c r="N32" s="13">
        <v>105.97</v>
      </c>
      <c r="O32" s="13">
        <v>107.57</v>
      </c>
      <c r="P32" s="13">
        <v>110.81</v>
      </c>
      <c r="Q32" s="13">
        <v>113.55</v>
      </c>
      <c r="R32" s="14">
        <f t="shared" si="0"/>
        <v>0.13549999999999995</v>
      </c>
    </row>
    <row r="33" spans="1:18" x14ac:dyDescent="0.3">
      <c r="A33" s="5" t="s">
        <v>68</v>
      </c>
      <c r="B33" s="15" t="s">
        <v>69</v>
      </c>
      <c r="C33" s="15" t="s">
        <v>69</v>
      </c>
      <c r="D33" s="15" t="s">
        <v>69</v>
      </c>
      <c r="E33" s="15" t="s">
        <v>69</v>
      </c>
      <c r="F33" s="15" t="s">
        <v>69</v>
      </c>
      <c r="G33" s="15">
        <v>100</v>
      </c>
      <c r="H33" s="15">
        <v>100.4</v>
      </c>
      <c r="I33" s="15">
        <v>99.36</v>
      </c>
      <c r="J33" s="15">
        <v>99.37</v>
      </c>
      <c r="K33" s="15">
        <v>100.54</v>
      </c>
      <c r="L33" s="15">
        <v>100.27</v>
      </c>
      <c r="M33" s="15">
        <v>99.83</v>
      </c>
      <c r="N33" s="15">
        <v>106.19</v>
      </c>
      <c r="O33" s="15">
        <v>137.16999999999999</v>
      </c>
      <c r="P33" s="15">
        <v>147.15</v>
      </c>
      <c r="Q33" s="15">
        <v>174.4</v>
      </c>
      <c r="R33" s="14">
        <f t="shared" si="0"/>
        <v>0.74399999999999999</v>
      </c>
    </row>
    <row r="34" spans="1:18" x14ac:dyDescent="0.3">
      <c r="A34" s="5" t="s">
        <v>70</v>
      </c>
      <c r="B34" s="13">
        <v>94.81</v>
      </c>
      <c r="C34" s="13">
        <v>99.06</v>
      </c>
      <c r="D34" s="13">
        <v>99.58</v>
      </c>
      <c r="E34" s="13">
        <v>100.09</v>
      </c>
      <c r="F34" s="13">
        <v>100.09</v>
      </c>
      <c r="G34" s="13">
        <v>100</v>
      </c>
      <c r="H34" s="13">
        <v>99.63</v>
      </c>
      <c r="I34" s="13">
        <v>99.63</v>
      </c>
      <c r="J34" s="13">
        <v>100.41</v>
      </c>
      <c r="K34" s="13">
        <v>100.41</v>
      </c>
      <c r="L34" s="13">
        <v>100.48</v>
      </c>
      <c r="M34" s="13">
        <v>100.8</v>
      </c>
      <c r="N34" s="13">
        <v>102.41</v>
      </c>
      <c r="O34" s="13">
        <v>104.58</v>
      </c>
      <c r="P34" s="13">
        <v>108.8</v>
      </c>
      <c r="Q34" s="13">
        <v>112.35</v>
      </c>
      <c r="R34" s="14">
        <f t="shared" si="0"/>
        <v>0.12349999999999994</v>
      </c>
    </row>
    <row r="35" spans="1:18" x14ac:dyDescent="0.3">
      <c r="A35" s="5" t="s">
        <v>71</v>
      </c>
      <c r="B35" s="13">
        <v>85</v>
      </c>
      <c r="C35" s="13">
        <v>84.4</v>
      </c>
      <c r="D35" s="13">
        <v>93.5</v>
      </c>
      <c r="E35" s="13">
        <v>93.7</v>
      </c>
      <c r="F35" s="13">
        <v>97.2</v>
      </c>
      <c r="G35" s="13">
        <v>100</v>
      </c>
      <c r="H35" s="13">
        <v>101.7</v>
      </c>
      <c r="I35" s="13">
        <v>100.2</v>
      </c>
      <c r="J35" s="13">
        <v>101.3</v>
      </c>
      <c r="K35" s="13">
        <v>105.6</v>
      </c>
      <c r="L35" s="13">
        <v>107.5</v>
      </c>
      <c r="M35" s="13">
        <v>110.4</v>
      </c>
      <c r="N35" s="13">
        <v>130.9</v>
      </c>
      <c r="O35" s="13">
        <v>153.9</v>
      </c>
      <c r="P35" s="13">
        <v>167.7</v>
      </c>
      <c r="Q35" s="13">
        <v>178.4</v>
      </c>
      <c r="R35" s="14">
        <f t="shared" si="0"/>
        <v>0.78400000000000003</v>
      </c>
    </row>
    <row r="36" spans="1:18" x14ac:dyDescent="0.3">
      <c r="A36" s="5" t="s">
        <v>72</v>
      </c>
      <c r="B36" s="15">
        <v>74.84</v>
      </c>
      <c r="C36" s="15">
        <v>78.08</v>
      </c>
      <c r="D36" s="15">
        <v>81.92</v>
      </c>
      <c r="E36" s="15">
        <v>86.9</v>
      </c>
      <c r="F36" s="15">
        <v>92.95</v>
      </c>
      <c r="G36" s="15">
        <v>100</v>
      </c>
      <c r="H36" s="15">
        <v>108.67</v>
      </c>
      <c r="I36" s="15">
        <v>118.59</v>
      </c>
      <c r="J36" s="15">
        <v>130.05000000000001</v>
      </c>
      <c r="K36" s="15">
        <v>143.19</v>
      </c>
      <c r="L36" s="15">
        <v>156.58000000000001</v>
      </c>
      <c r="M36" s="15">
        <v>172.63</v>
      </c>
      <c r="N36" s="15">
        <v>221.23</v>
      </c>
      <c r="O36" s="15">
        <v>405.05</v>
      </c>
      <c r="P36" s="15">
        <v>879.78</v>
      </c>
      <c r="Q36" s="15">
        <v>1562.07</v>
      </c>
      <c r="R36" s="14">
        <f t="shared" si="0"/>
        <v>14.620699999999999</v>
      </c>
    </row>
    <row r="37" spans="1:18" x14ac:dyDescent="0.3"/>
    <row r="38" spans="1:18" x14ac:dyDescent="0.3"/>
    <row r="39" spans="1:18" x14ac:dyDescent="0.3"/>
    <row r="40" spans="1:18" x14ac:dyDescent="0.3"/>
    <row r="41" spans="1:18" x14ac:dyDescent="0.3"/>
    <row r="42" spans="1:18" x14ac:dyDescent="0.3"/>
    <row r="43" spans="1:18" x14ac:dyDescent="0.3"/>
    <row r="44" spans="1:18" x14ac:dyDescent="0.3"/>
    <row r="46" spans="1:18" x14ac:dyDescent="0.3">
      <c r="A46" s="1"/>
    </row>
    <row r="47" spans="1:18" x14ac:dyDescent="0.3">
      <c r="A47" s="1"/>
      <c r="B47" s="2"/>
    </row>
    <row r="48" spans="1:18" x14ac:dyDescent="0.3">
      <c r="A48" s="1"/>
    </row>
    <row r="49" spans="1:2" x14ac:dyDescent="0.3">
      <c r="A49" s="1"/>
      <c r="B49" s="2"/>
    </row>
    <row r="50" spans="1:2" x14ac:dyDescent="0.3">
      <c r="A50" s="1"/>
      <c r="B5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Iann Soffried</cp:lastModifiedBy>
  <dcterms:created xsi:type="dcterms:W3CDTF">2026-06-03T12:38:11Z</dcterms:created>
  <dcterms:modified xsi:type="dcterms:W3CDTF">2026-06-03T12:46:59Z</dcterms:modified>
</cp:coreProperties>
</file>